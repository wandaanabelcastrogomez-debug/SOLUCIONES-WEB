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81eae300dab44/Desktop/Documentos/"/>
    </mc:Choice>
  </mc:AlternateContent>
  <xr:revisionPtr revIDLastSave="0" documentId="8_{E0A398A7-8CEC-44C8-8EC3-3713AFBCC184}" xr6:coauthVersionLast="47" xr6:coauthVersionMax="47" xr10:uidLastSave="{00000000-0000-0000-0000-000000000000}"/>
  <bookViews>
    <workbookView xWindow="-108" yWindow="-108" windowWidth="23256" windowHeight="12456" activeTab="1" xr2:uid="{CDA627DC-53B0-4CBF-85B3-2868C8F7AD8D}"/>
  </bookViews>
  <sheets>
    <sheet name="PRATICAS MATRICES 3,28-6-26" sheetId="1" r:id="rId1"/>
    <sheet name="mapa" sheetId="3" r:id="rId2"/>
  </sheets>
  <definedNames>
    <definedName name="_xlchart.v5.0" hidden="1">mapa!$A$2:$C$2</definedName>
    <definedName name="_xlchart.v5.1" hidden="1">mapa!$C$1</definedName>
    <definedName name="_xlchart.v5.2" hidden="1">mapa!$C$2</definedName>
    <definedName name="_xlchart.v5.3" hidden="1">mapa!$D$1</definedName>
    <definedName name="_xlchart.v5.4" hidden="1">mapa!$D$2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1" l="1"/>
  <c r="L2" i="1"/>
  <c r="L15" i="1"/>
  <c r="M15" i="1" s="1"/>
  <c r="M3" i="1"/>
  <c r="M4" i="1"/>
  <c r="M5" i="1"/>
  <c r="M6" i="1"/>
  <c r="M7" i="1"/>
  <c r="M8" i="1"/>
  <c r="M9" i="1"/>
  <c r="M10" i="1"/>
  <c r="M11" i="1"/>
  <c r="M12" i="1"/>
  <c r="M13" i="1"/>
  <c r="M14" i="1"/>
  <c r="M2" i="1"/>
  <c r="H3" i="1"/>
  <c r="H4" i="1"/>
  <c r="H5" i="1"/>
  <c r="H6" i="1"/>
  <c r="H7" i="1"/>
  <c r="H8" i="1"/>
  <c r="H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<sst xmlns="http://schemas.openxmlformats.org/spreadsheetml/2006/main" count="30" uniqueCount="27">
  <si>
    <t>A</t>
  </si>
  <si>
    <t>B</t>
  </si>
  <si>
    <t>C</t>
  </si>
  <si>
    <t>huevo</t>
  </si>
  <si>
    <t>pan</t>
  </si>
  <si>
    <t>carne cerdo</t>
  </si>
  <si>
    <t>queso blanco</t>
  </si>
  <si>
    <t>saco arroz 50l</t>
  </si>
  <si>
    <t>habichuela 1l</t>
  </si>
  <si>
    <t>limon 1/12</t>
  </si>
  <si>
    <t>maiz</t>
  </si>
  <si>
    <t>pañales p16-n3</t>
  </si>
  <si>
    <t>Aceite 8 oz crisol</t>
  </si>
  <si>
    <t>harina de maiz</t>
  </si>
  <si>
    <t>platano</t>
  </si>
  <si>
    <t>carne molida</t>
  </si>
  <si>
    <t>PRECIO FINAL</t>
  </si>
  <si>
    <t>PRECIO ITBIS</t>
  </si>
  <si>
    <t>PRECIO</t>
  </si>
  <si>
    <t>PRODUCTO</t>
  </si>
  <si>
    <t>RESULTADO</t>
  </si>
  <si>
    <t>canada</t>
  </si>
  <si>
    <t>estados unidos</t>
  </si>
  <si>
    <t>mexico</t>
  </si>
  <si>
    <t>puerto rico</t>
  </si>
  <si>
    <t>1.964.375</t>
  </si>
  <si>
    <t>9.084.670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</si>
</sst>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_xlchart.v5.3</cx:f>
        <cx:nf dir="row">_xlchart.v5.1</cx:nf>
      </cx:strDim>
      <cx:numDim type="colorVal">
        <cx:f dir="row">_xlchart.v5.4</cx:f>
        <cx:nf dir="row">_xlchart.v5.2</cx:nf>
      </cx:numDim>
    </cx:data>
  </cx:chartData>
  <cx:chart>
    <cx:title pos="t" align="ctr" overlay="0"/>
    <cx:plotArea>
      <cx:plotAreaRegion>
        <cx:series layoutId="regionMap" uniqueId="{AAEC6677-15E2-4DC8-96AA-923FBB237A7C}">
          <cx:tx>
            <cx:txData>
              <cx:f>_xlchart.v5.0</cx:f>
              <cx:v>98,833,517 1.964.375 9.084.670</cx:v>
            </cx:txData>
          </cx:tx>
          <cx:dataId val="0"/>
          <cx:layoutPr>
            <cx:geography cultureLanguage="es-ES" cultureRegion="DO" attribution="Con tecnología de Bing">
              <cx:geoCache provider="{E9337A44-BEBE-4D9F-B70C-5C5E7DAFC167}">
                <cx:binary>7FlbU904tv4rFM9HiSVZt65OP9jemzthJ3T37ry4gIAtS5Yv8v3Xn2XIZAjMkD4zrydFhbIla12/
tT4tfr2bfrmz9zftwVRa53+5mz4c5l1X//L+vb/L78sb/67Ud23lq4fu3V1Vvq8eHvTd/fuv7c2o
XfaeBDh8f5fftN39dPjbr3Badl+dV3c3na7crr9v50/3vredf2PtXy4d3FW969bPMzjpw2ENZ3XV
QavvqsODe9fpbr6e6/sPhz/sOzx4//K0V5IPLCjX9V/hWyzfESyo5IQFj//w4YGtXPZtGXH+jnJC
MMX0+/qT7MubEr6/elLq00+UelTp5uvX9t77g2+/X3z8gxUv1rSv4idnxNWq9dWnRzPf/+js3359
8QIMf/HmWTxeeulnSy/D8Tct//9wfAfDT8Lx70P1PYGTm+5m85j5z6L19uo/wvzi07cA9JTfJ18/
HJKAPMPTesS37/5t8n//6v7Gdx8OEWfvVvQwzAll8Ivxw4Px/mlJvFNhyBmnggQioBhkuart8kdU
wlYWShHwgIVcysMDX/WPS+KdlCHDigkREE65+F50rio7Z5X77o9vzweuL68q7ToPBoWHB/XTtlVT
xjiWoQg5pVhSKUUI8K/vbj5BYYPd+H+cHrLBFr7cVClHm3rpxyT0pdAREVZHvctt0shAnM5EfJZB
/1lT4zY1LfJTa5cgMiHXx0K3TZR3UkZDgeQ5t/ntXLX9aZ43KvauOcO9mSKNBvUxIzg4bezcbZ75
/V/YIV6YIRmXBPNASUVCTEPw13MzxjrEOsW63NgqbWM09z4pU33FysDHqBnKqC/wGL0tk72SKSkI
45gwTEKOIbLPZWYMoc7NLtukdWASquwDEe6LCsoxeVvQyxhJ9qOg1fhnMerVtGiZ2mwThvZLW2Rl
LEt1/X+XAdYEgq3ZFYarDs9kdD3VLu90tkE1klE7+jFBXVv/JEx4Tafn6QamMEWxkgHkLhfshSk8
r4NqqUuUtLJXSWbtWVWqP1PNjlTf7oe2/731eCNMh7fFgnelnK7etnMNyisFmAq5kND2RBD8aCev
BqzqQqNEmercVqO5WDrSRGbocDKMo4rfFofX817JkwB8xWlIiHhhsGYL9YtL0yTvmzmuGn2bl1kV
+UwuUWrFR6eYj1oW7lhfPAy8+fy2fBbQ1wooxZnEAHEcCKl+NJi6CYVLmOqNVvVpzZpLixayCXnx
kPX1sjOc7bQZ3VE51DRqhb0NafFAtT2vSVdEeVn7xMxaRVWw5FuaL+FVH8rLRrNdKcpzifjlUpiH
wIeXTkuTVLOl0TyiKar6poiwYelpqXx+ZTCuI0zw18EiHbcB/DendLdQQyO36M8MN19Myq+9DHdV
y3YyAMmhyH4v6GhjzopbUQsfNUvrk1Xa2KUuWtWQivsoc+J6rCoa1RPehX12m2JMI9UHf8m5UNGw
LjFD2OcgnboNJ7aNbC7bY+4nEucFiLLe1XE4E5OgOVh2YVvJRHs4uh7Kc12QXeGle7KMFOHFPDTz
WdisNU8js3FonE4D0ZgLbfzeuAqsEsW0XLiljMdplAmqOrJRjF82dCzjhfG/kPDuz06NaTJ3XsUV
Bs+hMi9iZgYKFnl1RNKqiFxT3nIrLqdBXrKiq46Nr5YLa3q1nZm85imfIqjhy4WswyEWeV7HjGZ6
67QbEug8l5g5GpFZuWhCYooWQXe1KW/NTP8gmpBECb9Py9xuSgEqYO3m39e4psKdF52QkZ1s/rFX
6cYWAsd9LX3MqjJIhjpEmzBvaRT6RcXT6uRHN06hL6JCNjLJu2z+XWSUbIIKnDDTSm0ddupozgMV
Sy0uVW7VEWvn+aiZuYzqXN+GThcxNV29DQg4OFMj2XiUL9vR0+W4qtiuspydVRJSYVomdjaCG3Je
LtvWgKRiUfNFmqVT1CBqEmYaEqclPKYOWlzT2Ac51nuSi5NH3W0m3FHgxIkrlyGupuVmHMgDT9F1
M/X1Ni8ArsECRg5N/sDnbNmabCRx5mcVcyyG+14P3UYWc3NsBrsrua6OZDWRjaagt1F62arU75fC
BQkruEk0VlNk7egT7MFPKtfZlhZuPnIeIChct18YJABi+gFloTuq5nbfTcJsJsldNCJbx6KEYLp2
gvaqdB1bhXcK1yTWA2iGiga+Tt35CppggIPHHjalNbxe4d7npo3mgebRgEIfhXkKR/dKRnNpHtgA
ILNLeatbfpmP+IKk48cmUNdl3xeRmby5aCgk/AJ1+0inxEf9GO6WdFBx4yeZSMkvncPjxlktos6p
SzzTnS0ASIRnt1SBY+YKg4y03TNSnYeo3iMEnpqF/lN41CfBCAHDC5hJVI6uC83ni1zkcxSaVMds
WCEqlruBYh5PUl4Hy2KStETXAYHsXt/QDO5y3t66DCArQnHtc4w2a/HtOmGSxrf7oiS7VtcAWgLg
cGviB2leRbhNgYCiKe7IyJKmQi6iIZSMRbTTaa276XQqa5mUHNFoyYIuwiLML2nXL2kcZhBO4SE0
zIOSAULFRbCATqOVANHa3rKOgwVlPtSRXrItapo+boeqvCuX/MSEUseqBsT7ot23Ir8daL9vy3Zv
q9X3YUViwVsoygLyROagdyXzB6ubZfuIU1SL69IGy1FfSB1lc6/itmqr41oOgIqMgd8GSBI5oOtp
NpBcSJ0qY+utrGbzaQgL+8cg0tnEQVrMR1al98EIriUTRRsUwldpQHbWlDSClpne+IJNEVtpX6rW
0thM+JyKCunIlAwfUT82G8LE+BF3EMsl66crSaEIFiM2m1ZRehK6TEVjC6mdNp2fIwgKOs50KxPb
opt5yvIrKksSF1C/j3sCBd+was+1CwE2kuPzMPX1FmcL+YQXna4JPbdng5ih0lKDyqjLUVBFJmfw
Je7RcRmCypj381EWzKDEPEClL+muzQnUxakf4s7UhkepLvyfrc3zjwY5u2Etu1EKmyTEpU9G5WVC
chrspzBkZ35q6m3aBPVfGMnpSLp0vkA2lCwJivzWZ8h80gG6wY3pdayLNX5FYMsorRe0ISMmm2Fs
wq91bapjjekQmwzAMlgBCM8yu5lm4pMUj3IrmiHYj4W9nSZoz2txqivIYAoNW05wbj20+8e2CHRy
N48t2Thf1LEP1r5o0vasXMlGKdklXSAPnQAY1FAw6DKAQSVrz0Lcodj78SMbOv2lclDBH2uE0fwy
8LX7jFxxm9k6Pa2zHEddRfQWSvzaU+y1HSobFVxkyVqPp6Unsan0Q1+Tq5r2F20l7sLc/uWEOTMz
yqNlAZbgpxy4hSvVthgCErcaAEegxG17nc1AOiyPmDY6oqacz6YmMOfzJOCikso2qQKRRgC6E2KG
z4Ufyi2xQZ90E5uuyAg9xI9+OnU1lHVglHvpVjNJ4EEo4NGaZvnSawUzlvxWZ+A/0+qHOoPduFlB
uxKMR7rgcLufubltCvCm1J5umByqnzDF9YbyI1FUhAtKecDhVijEyuOeEXBawlXPTUu+sRJqFRfo
egRJUDSLh1G3JF600DEJqP6JXP6KkvMAboABjH9kANT8JUGcZud7jzOUCDF8zLVIui4/peGwS40V
UY2dBS6igyhobQJ85IJ36A8smn0R5kfCOBeVIfTzJaRA2UwRB22zcX2zLdrlczaaIsrg4hbn3p+k
XXDHZIcimqI/4bb7mdXtWYNlvW0mdpqj7Hfs+68Fscc4E1m08tDBpg91W3RxXupTnjVA0+wwXTLU
mdNyBiy7FAo3FfxkXLn7qAE0a86xIrykDqpOQWe0KS1USN+Zj7OsuY1aDX2ThRRYo1UAydEv8Sjn
MiprM8WoXuimR+T0bSL+6oLKA4IJAb4iQsaFgLv+8/BWtai51xIlnAAJGWwJJA3zk0VkD0UN1RMa
68NPJL7KKBApMBcgFkNK0RdXD9JT1zWpRYlbPQXBCU9UCNSW5irbeL/81Utx0hTQVUobHg2pvFzp
JFmgoJdqIHHXwQUAL9BzV84UjECB1ii3QAZmam6nHFppCTVkcPJk1kPiC9GeVMQ+NHW7pzUwnX6B
e01Bd5OEOq+8qWOta2BB0PZJru1m6MIdCYE6rnQTLcAcSiDhPgB0agJNwluoAfkQdMDa4NLyyOmG
tlbxQuS19AARBP3JmBYd4xGi7R27rBfYCRep/VRgf10pQnXkx8IlKoOevKTQxp86I9y5shEawzgH
aDNN+WxAxVbFZKyhsJbQiy2BrqDUjFZi5xO4qtz2fDTJSreobvaGL90GyHN6mhVs+fIYvm9Drqsn
6D+Nau6qem51ln8bEX9//O26KuHncYb5z5frhPmfTxf/GE2/uevovlonVv7lplWb72eBMt+0Wwdd
Pzy8mrm9vfp9ArUe9Dh6uq5eHfG3Nj2f3r0+6D8d4j2e9DhBfOuE/25IDlP4Z958rfvTHwX+1qZv
gXn8I8Vv/wsAAP//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4</xdr:row>
      <xdr:rowOff>114300</xdr:rowOff>
    </xdr:from>
    <xdr:to>
      <xdr:col>11</xdr:col>
      <xdr:colOff>571500</xdr:colOff>
      <xdr:row>21</xdr:row>
      <xdr:rowOff>83820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2CC7336-1984-B14F-426C-BACB778FA4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8160" y="845820"/>
              <a:ext cx="5044440" cy="3078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66DC-07F8-4F62-801A-D1492F6BABA1}">
  <dimension ref="A1:R15"/>
  <sheetViews>
    <sheetView workbookViewId="0">
      <selection activeCell="K15" sqref="K15"/>
    </sheetView>
  </sheetViews>
  <sheetFormatPr baseColWidth="10" defaultRowHeight="14.4" x14ac:dyDescent="0.3"/>
  <cols>
    <col min="10" max="10" width="13" customWidth="1"/>
    <col min="11" max="11" width="14.77734375" customWidth="1"/>
    <col min="13" max="13" width="14.88671875" customWidth="1"/>
  </cols>
  <sheetData>
    <row r="1" spans="1:18" x14ac:dyDescent="0.3">
      <c r="A1" t="s">
        <v>0</v>
      </c>
      <c r="B1" t="s">
        <v>1</v>
      </c>
      <c r="C1" t="s">
        <v>20</v>
      </c>
      <c r="E1" t="s">
        <v>0</v>
      </c>
      <c r="F1" t="s">
        <v>1</v>
      </c>
      <c r="G1" t="s">
        <v>2</v>
      </c>
      <c r="H1" t="s">
        <v>20</v>
      </c>
      <c r="J1" t="s">
        <v>19</v>
      </c>
      <c r="K1" t="s">
        <v>18</v>
      </c>
      <c r="L1" t="s">
        <v>17</v>
      </c>
      <c r="M1" t="s">
        <v>16</v>
      </c>
      <c r="O1" s="1">
        <v>0.18</v>
      </c>
      <c r="P1" s="1">
        <v>0.2</v>
      </c>
      <c r="Q1" s="1">
        <v>0.38</v>
      </c>
      <c r="R1" s="1">
        <v>9.5000000000000001E-2</v>
      </c>
    </row>
    <row r="2" spans="1:18" x14ac:dyDescent="0.3">
      <c r="A2">
        <v>8</v>
      </c>
      <c r="B2">
        <v>10</v>
      </c>
      <c r="C2">
        <f>A2+B2</f>
        <v>18</v>
      </c>
      <c r="E2">
        <v>15</v>
      </c>
      <c r="F2">
        <v>20</v>
      </c>
      <c r="G2">
        <v>9</v>
      </c>
      <c r="H2">
        <f>E2*F2/G2</f>
        <v>33.333333333333336</v>
      </c>
      <c r="J2" t="s">
        <v>3</v>
      </c>
      <c r="K2">
        <v>7.5</v>
      </c>
      <c r="L2">
        <f>+K2*18%</f>
        <v>1.3499999999999999</v>
      </c>
      <c r="M2">
        <f>SUM(K2:L2)</f>
        <v>8.85</v>
      </c>
    </row>
    <row r="3" spans="1:18" x14ac:dyDescent="0.3">
      <c r="A3">
        <v>18</v>
      </c>
      <c r="B3">
        <v>1</v>
      </c>
      <c r="C3">
        <f t="shared" ref="C3:C7" si="0">A3+B3</f>
        <v>19</v>
      </c>
      <c r="E3">
        <v>6</v>
      </c>
      <c r="F3">
        <v>20</v>
      </c>
      <c r="G3">
        <v>17</v>
      </c>
      <c r="H3">
        <f t="shared" ref="H3:H8" si="1">E3*F3/G3</f>
        <v>7.0588235294117645</v>
      </c>
      <c r="J3" t="s">
        <v>4</v>
      </c>
      <c r="K3">
        <v>10</v>
      </c>
      <c r="L3">
        <v>1.8</v>
      </c>
      <c r="M3">
        <f t="shared" ref="M3:M15" si="2">SUM(K3:L3)</f>
        <v>11.8</v>
      </c>
    </row>
    <row r="4" spans="1:18" x14ac:dyDescent="0.3">
      <c r="A4">
        <v>9</v>
      </c>
      <c r="B4">
        <v>5</v>
      </c>
      <c r="C4">
        <f t="shared" si="0"/>
        <v>14</v>
      </c>
      <c r="E4">
        <v>16</v>
      </c>
      <c r="F4">
        <v>22</v>
      </c>
      <c r="G4">
        <v>40</v>
      </c>
      <c r="H4">
        <f t="shared" si="1"/>
        <v>8.8000000000000007</v>
      </c>
      <c r="J4" t="s">
        <v>5</v>
      </c>
      <c r="K4">
        <v>150</v>
      </c>
      <c r="L4">
        <v>27</v>
      </c>
      <c r="M4">
        <f t="shared" si="2"/>
        <v>177</v>
      </c>
    </row>
    <row r="5" spans="1:18" x14ac:dyDescent="0.3">
      <c r="A5">
        <v>34</v>
      </c>
      <c r="B5">
        <v>12</v>
      </c>
      <c r="C5">
        <f t="shared" si="0"/>
        <v>46</v>
      </c>
      <c r="E5">
        <v>28</v>
      </c>
      <c r="F5">
        <v>37</v>
      </c>
      <c r="G5">
        <v>16</v>
      </c>
      <c r="H5">
        <f t="shared" si="1"/>
        <v>64.75</v>
      </c>
      <c r="J5" t="s">
        <v>6</v>
      </c>
      <c r="K5">
        <v>170</v>
      </c>
      <c r="L5">
        <v>30.6</v>
      </c>
      <c r="M5">
        <f t="shared" si="2"/>
        <v>200.6</v>
      </c>
    </row>
    <row r="6" spans="1:18" x14ac:dyDescent="0.3">
      <c r="A6">
        <v>20</v>
      </c>
      <c r="B6">
        <v>23</v>
      </c>
      <c r="C6">
        <f t="shared" si="0"/>
        <v>43</v>
      </c>
      <c r="E6">
        <v>14</v>
      </c>
      <c r="F6">
        <v>27</v>
      </c>
      <c r="G6">
        <v>21</v>
      </c>
      <c r="H6">
        <f t="shared" si="1"/>
        <v>18</v>
      </c>
      <c r="J6" t="s">
        <v>7</v>
      </c>
      <c r="K6">
        <v>2500</v>
      </c>
      <c r="L6">
        <v>450</v>
      </c>
      <c r="M6">
        <f t="shared" si="2"/>
        <v>2950</v>
      </c>
    </row>
    <row r="7" spans="1:18" x14ac:dyDescent="0.3">
      <c r="A7">
        <v>15</v>
      </c>
      <c r="B7">
        <v>11</v>
      </c>
      <c r="C7">
        <f t="shared" si="0"/>
        <v>26</v>
      </c>
      <c r="E7">
        <v>13</v>
      </c>
      <c r="F7">
        <v>25</v>
      </c>
      <c r="G7">
        <v>1</v>
      </c>
      <c r="H7">
        <f t="shared" si="1"/>
        <v>325</v>
      </c>
      <c r="J7" t="s">
        <v>8</v>
      </c>
      <c r="K7">
        <v>100</v>
      </c>
      <c r="L7">
        <v>18</v>
      </c>
      <c r="M7">
        <f t="shared" si="2"/>
        <v>118</v>
      </c>
    </row>
    <row r="8" spans="1:18" x14ac:dyDescent="0.3">
      <c r="E8">
        <v>24</v>
      </c>
      <c r="F8">
        <v>80</v>
      </c>
      <c r="G8">
        <v>44</v>
      </c>
      <c r="H8">
        <f t="shared" si="1"/>
        <v>43.636363636363633</v>
      </c>
      <c r="J8" t="s">
        <v>9</v>
      </c>
      <c r="K8">
        <v>115</v>
      </c>
      <c r="L8">
        <v>20.7</v>
      </c>
      <c r="M8">
        <f t="shared" si="2"/>
        <v>135.69999999999999</v>
      </c>
    </row>
    <row r="9" spans="1:18" x14ac:dyDescent="0.3">
      <c r="J9" t="s">
        <v>10</v>
      </c>
      <c r="K9">
        <v>125</v>
      </c>
      <c r="L9">
        <v>22.5</v>
      </c>
      <c r="M9">
        <f t="shared" si="2"/>
        <v>147.5</v>
      </c>
    </row>
    <row r="10" spans="1:18" x14ac:dyDescent="0.3">
      <c r="J10" t="s">
        <v>11</v>
      </c>
      <c r="K10">
        <v>198</v>
      </c>
      <c r="L10">
        <v>35.64</v>
      </c>
      <c r="M10">
        <f t="shared" si="2"/>
        <v>233.64</v>
      </c>
    </row>
    <row r="11" spans="1:18" x14ac:dyDescent="0.3">
      <c r="J11" t="s">
        <v>12</v>
      </c>
      <c r="K11">
        <v>100</v>
      </c>
      <c r="L11">
        <v>18</v>
      </c>
      <c r="M11">
        <f t="shared" si="2"/>
        <v>118</v>
      </c>
    </row>
    <row r="12" spans="1:18" x14ac:dyDescent="0.3">
      <c r="J12" t="s">
        <v>13</v>
      </c>
      <c r="K12">
        <v>30</v>
      </c>
      <c r="L12">
        <v>5.4</v>
      </c>
      <c r="M12">
        <f t="shared" si="2"/>
        <v>35.4</v>
      </c>
    </row>
    <row r="13" spans="1:18" x14ac:dyDescent="0.3">
      <c r="J13" t="s">
        <v>14</v>
      </c>
      <c r="K13">
        <v>30</v>
      </c>
      <c r="L13">
        <v>5.4</v>
      </c>
      <c r="M13">
        <f t="shared" si="2"/>
        <v>35.4</v>
      </c>
    </row>
    <row r="14" spans="1:18" x14ac:dyDescent="0.3">
      <c r="J14" t="s">
        <v>15</v>
      </c>
      <c r="K14">
        <v>200</v>
      </c>
      <c r="L14">
        <v>36</v>
      </c>
      <c r="M14">
        <f t="shared" si="2"/>
        <v>236</v>
      </c>
    </row>
    <row r="15" spans="1:18" x14ac:dyDescent="0.3">
      <c r="K15">
        <f>SUM(K2:K14)</f>
        <v>3735.5</v>
      </c>
      <c r="L15">
        <f>SUM(L2:L14)</f>
        <v>672.39</v>
      </c>
      <c r="M15">
        <f t="shared" si="2"/>
        <v>4407.8900000000003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BA74-1DF4-4C80-86B4-BC1D39A83DFD}">
  <dimension ref="A1:D2"/>
  <sheetViews>
    <sheetView tabSelected="1" workbookViewId="0">
      <selection activeCell="E9" sqref="E9"/>
    </sheetView>
  </sheetViews>
  <sheetFormatPr baseColWidth="10" defaultRowHeight="14.4" x14ac:dyDescent="0.3"/>
  <cols>
    <col min="1" max="1" width="12.77734375" customWidth="1"/>
  </cols>
  <sheetData>
    <row r="1" spans="1:4" x14ac:dyDescent="0.3">
      <c r="A1" t="s">
        <v>22</v>
      </c>
      <c r="B1" t="s">
        <v>23</v>
      </c>
      <c r="C1" t="s">
        <v>21</v>
      </c>
      <c r="D1" t="s">
        <v>24</v>
      </c>
    </row>
    <row r="2" spans="1:4" x14ac:dyDescent="0.3">
      <c r="A2" s="2">
        <v>98833517</v>
      </c>
      <c r="B2" t="s">
        <v>25</v>
      </c>
      <c r="C2" t="s">
        <v>26</v>
      </c>
      <c r="D2">
        <v>9.1039999999999992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PRATICAS MATRICES 3,28-6-26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2026-07-14T21:36:40Z</dcterms:created>
  <dcterms:modified xsi:type="dcterms:W3CDTF">2026-07-14T23:11:41Z</dcterms:modified>
</cp:coreProperties>
</file>