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781eae300dab44/Desktop/Documentos/"/>
    </mc:Choice>
  </mc:AlternateContent>
  <xr:revisionPtr revIDLastSave="0" documentId="8_{97640E21-3180-4599-A927-04CA9328E26B}" xr6:coauthVersionLast="47" xr6:coauthVersionMax="47" xr10:uidLastSave="{00000000-0000-0000-0000-000000000000}"/>
  <bookViews>
    <workbookView xWindow="-108" yWindow="-108" windowWidth="23256" windowHeight="12456" activeTab="1" xr2:uid="{CAED2356-5F57-4DA5-85AC-B1046AC37400}"/>
  </bookViews>
  <sheets>
    <sheet name="FUNCIONES" sheetId="1" r:id="rId1"/>
    <sheet name="contar.s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2" l="1"/>
  <c r="C12" i="1"/>
  <c r="D12" i="1"/>
  <c r="E12" i="1"/>
  <c r="F12" i="1"/>
  <c r="G12" i="1"/>
  <c r="B12" i="1"/>
  <c r="C11" i="1"/>
  <c r="D11" i="1"/>
  <c r="E11" i="1"/>
  <c r="F11" i="1"/>
  <c r="G11" i="1"/>
  <c r="B11" i="1"/>
  <c r="C10" i="1"/>
  <c r="D10" i="1"/>
  <c r="E10" i="1"/>
  <c r="F10" i="1"/>
  <c r="G10" i="1"/>
  <c r="B10" i="1"/>
  <c r="C9" i="1"/>
  <c r="D9" i="1"/>
  <c r="E9" i="1"/>
  <c r="F9" i="1"/>
  <c r="G9" i="1"/>
  <c r="B9" i="1"/>
  <c r="K4" i="1"/>
  <c r="K5" i="1"/>
  <c r="K6" i="1"/>
  <c r="K7" i="1"/>
  <c r="K8" i="1"/>
  <c r="J5" i="1"/>
  <c r="J6" i="1"/>
  <c r="J7" i="1"/>
  <c r="J8" i="1"/>
  <c r="J4" i="1"/>
  <c r="I4" i="1"/>
  <c r="I5" i="1"/>
  <c r="I6" i="1"/>
  <c r="I7" i="1"/>
  <c r="I8" i="1"/>
  <c r="H4" i="1"/>
  <c r="H5" i="1"/>
  <c r="H6" i="1"/>
  <c r="H7" i="1"/>
  <c r="H8" i="1"/>
</calcChain>
</file>

<file path=xl/sharedStrings.xml><?xml version="1.0" encoding="utf-8"?>
<sst xmlns="http://schemas.openxmlformats.org/spreadsheetml/2006/main" count="31" uniqueCount="29">
  <si>
    <t>pais</t>
  </si>
  <si>
    <t>españa</t>
  </si>
  <si>
    <t>italia</t>
  </si>
  <si>
    <t>portugal</t>
  </si>
  <si>
    <t>suiza</t>
  </si>
  <si>
    <t>total</t>
  </si>
  <si>
    <t>enero</t>
  </si>
  <si>
    <t>febrero</t>
  </si>
  <si>
    <t>marzo</t>
  </si>
  <si>
    <t>abril</t>
  </si>
  <si>
    <t>mayo</t>
  </si>
  <si>
    <t>junio</t>
  </si>
  <si>
    <t>maximo</t>
  </si>
  <si>
    <t>minimo</t>
  </si>
  <si>
    <t>promedio</t>
  </si>
  <si>
    <t>FUNCION DE MAX,MIN Y PROMEDIO</t>
  </si>
  <si>
    <t>min</t>
  </si>
  <si>
    <t>max</t>
  </si>
  <si>
    <t>francia</t>
  </si>
  <si>
    <t>como contar si es mayor en excel</t>
  </si>
  <si>
    <t>nombre</t>
  </si>
  <si>
    <t>lina</t>
  </si>
  <si>
    <t>juan</t>
  </si>
  <si>
    <t>stela</t>
  </si>
  <si>
    <t>sandra</t>
  </si>
  <si>
    <t>mirian</t>
  </si>
  <si>
    <t>camila</t>
  </si>
  <si>
    <t>cuantos mayor a 18 años</t>
  </si>
  <si>
    <t>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</si>
</sst>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font>
        <color theme="0"/>
      </font>
      <fill>
        <patternFill>
          <bgColor rgb="FF00206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470A4D-079B-49E8-A42E-1F8E1B1C946A}" name="Tabla3" displayName="Tabla3" ref="A3:K12" totalsRowShown="0">
  <tableColumns count="11">
    <tableColumn id="1" xr3:uid="{342BC4A7-267C-4FA6-9F08-27DA36F5FFA9}" name="pais"/>
    <tableColumn id="2" xr3:uid="{BB2ECF55-74E6-4D16-9977-AB91A096EE0A}" name="enero"/>
    <tableColumn id="3" xr3:uid="{1B8DF6BC-811E-474F-9E87-CE76DC7FA72D}" name="febrero"/>
    <tableColumn id="4" xr3:uid="{AD7DC186-4E86-425F-9EEE-89977D54CBC0}" name="marzo"/>
    <tableColumn id="5" xr3:uid="{FFEE8F1B-4767-4A80-A3BF-8924F27B2F4E}" name="abril"/>
    <tableColumn id="6" xr3:uid="{A1B9D3AD-FD7B-43C1-82E7-DA1C2D46E480}" name="mayo"/>
    <tableColumn id="7" xr3:uid="{709D6E0C-53E8-4A46-B560-87ECC75F562A}" name="junio"/>
    <tableColumn id="8" xr3:uid="{D648B5F1-C95B-4F70-904F-04E97D5D5C88}" name="total" dataDxfId="9">
      <calculatedColumnFormula>SUM(Tabla3[[#This Row],[enero]:[junio]])</calculatedColumnFormula>
    </tableColumn>
    <tableColumn id="9" xr3:uid="{F6D2BB05-2293-42E1-83EA-75B91CE16DED}" name="maximo" dataDxfId="8">
      <calculatedColumnFormula>MAX(Tabla3[[#This Row],[enero]:[junio]])</calculatedColumnFormula>
    </tableColumn>
    <tableColumn id="10" xr3:uid="{365A6AE9-E31E-4630-A44B-C6692238456B}" name="minimo" dataDxfId="7">
      <calculatedColumnFormula>MIN(Tabla3[[#This Row],[enero]:[junio]])</calculatedColumnFormula>
    </tableColumn>
    <tableColumn id="11" xr3:uid="{7E717515-4412-4763-A174-C70D809B70C6}" name="promedio" dataDxfId="6">
      <calculatedColumnFormula>AVERAGE(Tabla3[[#This Row],[enero]:[junio]])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2C075-11CE-463A-980C-964D20E58DF4}">
  <dimension ref="A1:K12"/>
  <sheetViews>
    <sheetView workbookViewId="0">
      <selection activeCell="B16" sqref="B16"/>
    </sheetView>
  </sheetViews>
  <sheetFormatPr baseColWidth="10" defaultRowHeight="14.4" x14ac:dyDescent="0.3"/>
  <sheetData>
    <row r="1" spans="1:11" ht="21" x14ac:dyDescent="0.3">
      <c r="B1" s="2" t="s">
        <v>15</v>
      </c>
      <c r="C1" s="2"/>
      <c r="D1" s="2"/>
      <c r="E1" s="2"/>
      <c r="F1" s="2"/>
      <c r="G1" s="2"/>
      <c r="H1" s="2"/>
      <c r="I1" s="2"/>
      <c r="J1" s="1"/>
      <c r="K1" s="1"/>
    </row>
    <row r="2" spans="1:11" ht="21" x14ac:dyDescent="0.3">
      <c r="B2" s="3"/>
      <c r="C2" s="3"/>
      <c r="D2" s="3"/>
      <c r="E2" s="3"/>
      <c r="F2" s="3"/>
      <c r="G2" s="3"/>
      <c r="H2" s="3"/>
      <c r="I2" s="3"/>
      <c r="J2" s="1"/>
      <c r="K2" s="1"/>
    </row>
    <row r="3" spans="1:11" x14ac:dyDescent="0.3">
      <c r="A3" t="s">
        <v>0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5</v>
      </c>
      <c r="I3" t="s">
        <v>12</v>
      </c>
      <c r="J3" t="s">
        <v>13</v>
      </c>
      <c r="K3" t="s">
        <v>14</v>
      </c>
    </row>
    <row r="4" spans="1:11" x14ac:dyDescent="0.3">
      <c r="A4" t="s">
        <v>1</v>
      </c>
      <c r="B4">
        <v>150</v>
      </c>
      <c r="C4">
        <v>167</v>
      </c>
      <c r="D4">
        <v>210</v>
      </c>
      <c r="E4">
        <v>145</v>
      </c>
      <c r="F4">
        <v>178</v>
      </c>
      <c r="G4">
        <v>165</v>
      </c>
      <c r="H4">
        <f>SUM(Tabla3[[#This Row],[enero]:[junio]])</f>
        <v>1015</v>
      </c>
      <c r="I4">
        <f>MAX(Tabla3[[#This Row],[enero]:[junio]])</f>
        <v>210</v>
      </c>
      <c r="J4">
        <f>MIN(Tabla3[[#This Row],[enero]:[junio]])</f>
        <v>145</v>
      </c>
      <c r="K4" s="4">
        <f>AVERAGE(Tabla3[[#This Row],[enero]:[junio]])</f>
        <v>169.16666666666666</v>
      </c>
    </row>
    <row r="5" spans="1:11" x14ac:dyDescent="0.3">
      <c r="A5" t="s">
        <v>2</v>
      </c>
      <c r="B5">
        <v>130</v>
      </c>
      <c r="C5">
        <v>191</v>
      </c>
      <c r="D5">
        <v>180</v>
      </c>
      <c r="E5">
        <v>160</v>
      </c>
      <c r="F5">
        <v>185</v>
      </c>
      <c r="G5">
        <v>200</v>
      </c>
      <c r="H5">
        <f>SUM(Tabla3[[#This Row],[enero]:[junio]])</f>
        <v>1046</v>
      </c>
      <c r="I5">
        <f>MAX(Tabla3[[#This Row],[enero]:[junio]])</f>
        <v>200</v>
      </c>
      <c r="J5">
        <f>MIN(Tabla3[[#This Row],[enero]:[junio]])</f>
        <v>130</v>
      </c>
      <c r="K5" s="4">
        <f>AVERAGE(Tabla3[[#This Row],[enero]:[junio]])</f>
        <v>174.33333333333334</v>
      </c>
    </row>
    <row r="6" spans="1:11" x14ac:dyDescent="0.3">
      <c r="A6" t="s">
        <v>3</v>
      </c>
      <c r="B6">
        <v>150</v>
      </c>
      <c r="C6">
        <v>110</v>
      </c>
      <c r="D6">
        <v>130</v>
      </c>
      <c r="E6">
        <v>134</v>
      </c>
      <c r="F6">
        <v>120</v>
      </c>
      <c r="G6">
        <v>156</v>
      </c>
      <c r="H6">
        <f>SUM(Tabla3[[#This Row],[enero]:[junio]])</f>
        <v>800</v>
      </c>
      <c r="I6">
        <f>MAX(Tabla3[[#This Row],[enero]:[junio]])</f>
        <v>156</v>
      </c>
      <c r="J6">
        <f>MIN(Tabla3[[#This Row],[enero]:[junio]])</f>
        <v>110</v>
      </c>
      <c r="K6" s="4">
        <f>AVERAGE(Tabla3[[#This Row],[enero]:[junio]])</f>
        <v>133.33333333333334</v>
      </c>
    </row>
    <row r="7" spans="1:11" x14ac:dyDescent="0.3">
      <c r="A7" t="s">
        <v>4</v>
      </c>
      <c r="B7">
        <v>89</v>
      </c>
      <c r="C7">
        <v>110</v>
      </c>
      <c r="D7">
        <v>105</v>
      </c>
      <c r="E7">
        <v>110</v>
      </c>
      <c r="F7">
        <v>105</v>
      </c>
      <c r="G7">
        <v>103</v>
      </c>
      <c r="H7">
        <f>SUM(Tabla3[[#This Row],[enero]:[junio]])</f>
        <v>622</v>
      </c>
      <c r="I7">
        <f>MAX(Tabla3[[#This Row],[enero]:[junio]])</f>
        <v>110</v>
      </c>
      <c r="J7">
        <f>MIN(Tabla3[[#This Row],[enero]:[junio]])</f>
        <v>89</v>
      </c>
      <c r="K7" s="4">
        <f>AVERAGE(Tabla3[[#This Row],[enero]:[junio]])</f>
        <v>103.66666666666667</v>
      </c>
    </row>
    <row r="8" spans="1:11" x14ac:dyDescent="0.3">
      <c r="A8" t="s">
        <v>18</v>
      </c>
      <c r="B8">
        <v>34</v>
      </c>
      <c r="C8">
        <v>56</v>
      </c>
      <c r="D8">
        <v>76</v>
      </c>
      <c r="E8">
        <v>66</v>
      </c>
      <c r="F8">
        <v>55</v>
      </c>
      <c r="G8">
        <v>88</v>
      </c>
      <c r="H8">
        <f>SUM(Tabla3[[#This Row],[enero]:[junio]])</f>
        <v>375</v>
      </c>
      <c r="I8">
        <f>MAX(Tabla3[[#This Row],[enero]:[junio]])</f>
        <v>88</v>
      </c>
      <c r="J8">
        <f>MIN(Tabla3[[#This Row],[enero]:[junio]])</f>
        <v>34</v>
      </c>
      <c r="K8" s="4">
        <f>AVERAGE(Tabla3[[#This Row],[enero]:[junio]])</f>
        <v>62.5</v>
      </c>
    </row>
    <row r="9" spans="1:11" x14ac:dyDescent="0.3">
      <c r="A9" t="s">
        <v>5</v>
      </c>
      <c r="B9">
        <f>SUM(B4:B8)</f>
        <v>553</v>
      </c>
      <c r="C9">
        <f t="shared" ref="C9:G9" si="0">SUM(C4:C8)</f>
        <v>634</v>
      </c>
      <c r="D9">
        <f t="shared" si="0"/>
        <v>701</v>
      </c>
      <c r="E9">
        <f t="shared" si="0"/>
        <v>615</v>
      </c>
      <c r="F9">
        <f t="shared" si="0"/>
        <v>643</v>
      </c>
      <c r="G9">
        <f t="shared" si="0"/>
        <v>712</v>
      </c>
    </row>
    <row r="10" spans="1:11" x14ac:dyDescent="0.3">
      <c r="A10" t="s">
        <v>16</v>
      </c>
      <c r="B10">
        <f>MIN(B4:B8)</f>
        <v>34</v>
      </c>
      <c r="C10">
        <f t="shared" ref="C10:G10" si="1">MIN(C4:C8)</f>
        <v>56</v>
      </c>
      <c r="D10">
        <f t="shared" si="1"/>
        <v>76</v>
      </c>
      <c r="E10">
        <f t="shared" si="1"/>
        <v>66</v>
      </c>
      <c r="F10">
        <f t="shared" si="1"/>
        <v>55</v>
      </c>
      <c r="G10">
        <f t="shared" si="1"/>
        <v>88</v>
      </c>
      <c r="H10" s="5"/>
      <c r="I10" s="5"/>
      <c r="J10" s="5"/>
      <c r="K10" s="5"/>
    </row>
    <row r="11" spans="1:11" x14ac:dyDescent="0.3">
      <c r="A11" t="s">
        <v>17</v>
      </c>
      <c r="B11">
        <f>MAX(B4:B8)</f>
        <v>150</v>
      </c>
      <c r="C11">
        <f t="shared" ref="C11:G11" si="2">MAX(C4:C8)</f>
        <v>191</v>
      </c>
      <c r="D11">
        <f t="shared" si="2"/>
        <v>210</v>
      </c>
      <c r="E11">
        <f t="shared" si="2"/>
        <v>160</v>
      </c>
      <c r="F11">
        <f t="shared" si="2"/>
        <v>185</v>
      </c>
      <c r="G11">
        <f t="shared" si="2"/>
        <v>200</v>
      </c>
      <c r="H11" s="5"/>
      <c r="I11" s="6"/>
      <c r="J11" s="5"/>
      <c r="K11" s="5"/>
    </row>
    <row r="12" spans="1:11" x14ac:dyDescent="0.3">
      <c r="A12" t="s">
        <v>14</v>
      </c>
      <c r="B12">
        <f>AVERAGE(B4:B8)</f>
        <v>110.6</v>
      </c>
      <c r="C12">
        <f t="shared" ref="C12:G12" si="3">AVERAGE(C4:C8)</f>
        <v>126.8</v>
      </c>
      <c r="D12">
        <f t="shared" si="3"/>
        <v>140.19999999999999</v>
      </c>
      <c r="E12">
        <f t="shared" si="3"/>
        <v>123</v>
      </c>
      <c r="F12">
        <f t="shared" si="3"/>
        <v>128.6</v>
      </c>
      <c r="G12">
        <f t="shared" si="3"/>
        <v>142.4</v>
      </c>
      <c r="H12" s="5"/>
      <c r="I12" s="5"/>
      <c r="J12" s="5"/>
      <c r="K12" s="5"/>
    </row>
  </sheetData>
  <mergeCells count="1">
    <mergeCell ref="B1:I1"/>
  </mergeCells>
  <phoneticPr fontId="1" type="noConversion"/>
  <conditionalFormatting sqref="B4:K12">
    <cfRule type="cellIs" dxfId="0" priority="3" operator="lessThan">
      <formula>100</formula>
    </cfRule>
    <cfRule type="cellIs" dxfId="1" priority="2" operator="between">
      <formula>100</formula>
      <formula>170</formula>
    </cfRule>
    <cfRule type="cellIs" dxfId="2" priority="1" operator="greaterThan">
      <formula>170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0C83-F095-42E5-847D-3A468F8D4AB1}">
  <dimension ref="A1:C10"/>
  <sheetViews>
    <sheetView tabSelected="1" workbookViewId="0">
      <selection activeCell="C24" sqref="C24"/>
    </sheetView>
  </sheetViews>
  <sheetFormatPr baseColWidth="10" defaultRowHeight="14.4" x14ac:dyDescent="0.3"/>
  <sheetData>
    <row r="1" spans="1:3" x14ac:dyDescent="0.3">
      <c r="A1" t="s">
        <v>19</v>
      </c>
    </row>
    <row r="2" spans="1:3" x14ac:dyDescent="0.3">
      <c r="A2" t="s">
        <v>20</v>
      </c>
      <c r="B2" t="s">
        <v>28</v>
      </c>
    </row>
    <row r="3" spans="1:3" x14ac:dyDescent="0.3">
      <c r="A3" t="s">
        <v>21</v>
      </c>
      <c r="B3">
        <v>12</v>
      </c>
    </row>
    <row r="4" spans="1:3" x14ac:dyDescent="0.3">
      <c r="A4" t="s">
        <v>22</v>
      </c>
      <c r="B4">
        <v>22</v>
      </c>
    </row>
    <row r="5" spans="1:3" x14ac:dyDescent="0.3">
      <c r="A5" t="s">
        <v>23</v>
      </c>
      <c r="B5">
        <v>32</v>
      </c>
    </row>
    <row r="6" spans="1:3" x14ac:dyDescent="0.3">
      <c r="A6" t="s">
        <v>24</v>
      </c>
      <c r="B6">
        <v>18</v>
      </c>
    </row>
    <row r="7" spans="1:3" x14ac:dyDescent="0.3">
      <c r="A7" t="s">
        <v>25</v>
      </c>
      <c r="B7">
        <v>59</v>
      </c>
    </row>
    <row r="8" spans="1:3" x14ac:dyDescent="0.3">
      <c r="A8" t="s">
        <v>26</v>
      </c>
      <c r="B8">
        <v>7</v>
      </c>
    </row>
    <row r="10" spans="1:3" x14ac:dyDescent="0.3">
      <c r="A10" t="s">
        <v>27</v>
      </c>
      <c r="C10">
        <f>COUNTIF(B3:B8,"&gt;=18")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FUNCIONES</vt:lpstr>
      <vt:lpstr>contar.si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wanda anabel castro gomez</dc:creator>
  <cp:lastModifiedBy>wanda anabel castro gomez</cp:lastModifiedBy>
  <dcterms:created xsi:type="dcterms:W3CDTF">2026-07-17T17:38:48Z</dcterms:created>
  <dcterms:modified xsi:type="dcterms:W3CDTF">2026-07-17T18:36:56Z</dcterms:modified>
</cp:coreProperties>
</file>